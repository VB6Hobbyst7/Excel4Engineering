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MS\MonitoringWithExcel\"/>
    </mc:Choice>
  </mc:AlternateContent>
  <bookViews>
    <workbookView xWindow="0" yWindow="75" windowWidth="15300" windowHeight="8970" tabRatio="485"/>
  </bookViews>
  <sheets>
    <sheet name="HP" sheetId="1" r:id="rId1"/>
    <sheet name="LAYOU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E4" i="2" l="1"/>
  <c r="E3" i="2"/>
  <c r="F4" i="2"/>
  <c r="F3" i="2"/>
  <c r="F17" i="2"/>
  <c r="F16" i="2"/>
  <c r="C4" i="2"/>
  <c r="C3" i="2"/>
  <c r="C23" i="1" l="1"/>
  <c r="C24" i="1" s="1"/>
</calcChain>
</file>

<file path=xl/sharedStrings.xml><?xml version="1.0" encoding="utf-8"?>
<sst xmlns="http://schemas.openxmlformats.org/spreadsheetml/2006/main" count="41" uniqueCount="36">
  <si>
    <t>测点</t>
    <phoneticPr fontId="1" type="noConversion"/>
  </si>
  <si>
    <t>点标签</t>
    <phoneticPr fontId="1" type="noConversion"/>
  </si>
  <si>
    <t>单位</t>
    <phoneticPr fontId="1" type="noConversion"/>
  </si>
  <si>
    <t>运行工况</t>
    <phoneticPr fontId="1" type="noConversion"/>
  </si>
  <si>
    <t>CSDC.DCS2AI.2JZA2871</t>
    <phoneticPr fontId="4" type="noConversion"/>
  </si>
  <si>
    <t>MW</t>
    <phoneticPr fontId="1" type="noConversion"/>
  </si>
  <si>
    <t>高压缸A侧排汽压力</t>
    <phoneticPr fontId="4" type="noConversion"/>
  </si>
  <si>
    <t>CSDC.DCS2AI.2JZA2230</t>
    <phoneticPr fontId="4" type="noConversion"/>
  </si>
  <si>
    <t>MPa</t>
    <phoneticPr fontId="4" type="noConversion"/>
  </si>
  <si>
    <t>高压缸B侧排汽压力</t>
    <phoneticPr fontId="4" type="noConversion"/>
  </si>
  <si>
    <t>CSDC.DCS2AI.2JZA2232</t>
    <phoneticPr fontId="4" type="noConversion"/>
  </si>
  <si>
    <t>MPa</t>
    <phoneticPr fontId="4" type="noConversion"/>
  </si>
  <si>
    <t>CSDC.DCS2AI.2JZA2226</t>
    <phoneticPr fontId="4" type="noConversion"/>
  </si>
  <si>
    <t>B侧自动主汽门后蒸汽压力</t>
    <phoneticPr fontId="4" type="noConversion"/>
  </si>
  <si>
    <t>CSDC.DCS2AI.2JZA2228</t>
    <phoneticPr fontId="4" type="noConversion"/>
  </si>
  <si>
    <t>高压缸A排汽温度</t>
    <phoneticPr fontId="4" type="noConversion"/>
  </si>
  <si>
    <t>CSDC.DCS2AI.2JZA2463</t>
    <phoneticPr fontId="4" type="noConversion"/>
  </si>
  <si>
    <t>℃</t>
    <phoneticPr fontId="4" type="noConversion"/>
  </si>
  <si>
    <t>高压缸B排汽温度</t>
    <phoneticPr fontId="4" type="noConversion"/>
  </si>
  <si>
    <t>CSDC.DCS2AI.2JZA2465</t>
    <phoneticPr fontId="4" type="noConversion"/>
  </si>
  <si>
    <t>A侧自动主汽门后蒸汽压力</t>
    <phoneticPr fontId="4" type="noConversion"/>
  </si>
  <si>
    <t>A自动主汽门后温度</t>
    <phoneticPr fontId="4" type="noConversion"/>
  </si>
  <si>
    <t>CSDC.DCS2AI.2JZA2408</t>
    <phoneticPr fontId="4" type="noConversion"/>
  </si>
  <si>
    <t>℃</t>
    <phoneticPr fontId="4" type="noConversion"/>
  </si>
  <si>
    <t>B自动主汽门后温度</t>
    <phoneticPr fontId="4" type="noConversion"/>
  </si>
  <si>
    <t>CSDC.DCS2AI.2JZA2409</t>
    <phoneticPr fontId="4" type="noConversion"/>
  </si>
  <si>
    <t>发电机有功功率</t>
    <phoneticPr fontId="4" type="noConversion"/>
  </si>
  <si>
    <t>大气压力</t>
    <phoneticPr fontId="4" type="noConversion"/>
  </si>
  <si>
    <t>CSDC.DCS2AI.2JZA2264</t>
    <phoneticPr fontId="4" type="noConversion"/>
  </si>
  <si>
    <t>KPa</t>
    <phoneticPr fontId="4" type="noConversion"/>
  </si>
  <si>
    <t>%</t>
    <phoneticPr fontId="1" type="noConversion"/>
  </si>
  <si>
    <t xml:space="preserve"> 分析结果</t>
    <phoneticPr fontId="1" type="noConversion"/>
  </si>
  <si>
    <t>高压缸等熵效率</t>
    <phoneticPr fontId="4" type="noConversion"/>
  </si>
  <si>
    <t>高压缸等熵效率在线监视（DEMO)</t>
    <phoneticPr fontId="1" type="noConversion"/>
  </si>
  <si>
    <t>采集周期(秒）</t>
    <phoneticPr fontId="1" type="noConversion"/>
  </si>
  <si>
    <t>当前时间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</si>
</sst>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/d\ h:mm:ss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22" fontId="0" fillId="0" borderId="0" xfId="0" applyNumberFormat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18531369445463"/>
          <c:y val="7.2415991240464606E-2"/>
          <c:w val="0.70367754571405416"/>
          <c:h val="0.7836698175300955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Lit>
              <c:formatCode>General</c:formatCode>
              <c:ptCount val="21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</c:numLit>
          </c:xVal>
          <c:yVal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3CD5-4FC6-BE72-A5AEC203C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142959"/>
        <c:axId val="1345264959"/>
      </c:scatterChart>
      <c:valAx>
        <c:axId val="1347142959"/>
        <c:scaling>
          <c:orientation val="minMax"/>
          <c:max val="42852.058333333334"/>
          <c:min val="42852.057638888888"/>
        </c:scaling>
        <c:delete val="0"/>
        <c:axPos val="b"/>
        <c:numFmt formatCode="h:mm:ss" sourceLinked="0"/>
        <c:majorTickMark val="out"/>
        <c:minorTickMark val="none"/>
        <c:tickLblPos val="nextTo"/>
        <c:crossAx val="1345264959"/>
        <c:crosses val="autoZero"/>
        <c:crossBetween val="midCat"/>
        <c:majorUnit val="2.3148148148148149E-4"/>
      </c:valAx>
      <c:valAx>
        <c:axId val="1345264959"/>
        <c:scaling>
          <c:orientation val="minMax"/>
          <c:max val="95"/>
          <c:min val="6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zh-CN" altLang="en-US" b="1" i="0" spc="300" baseline="0"/>
                  <a:t>内效率（</a:t>
                </a:r>
                <a:r>
                  <a:rPr lang="en-US" altLang="zh-CN" b="1" i="0" spc="300" baseline="0"/>
                  <a:t>%</a:t>
                </a:r>
                <a:r>
                  <a:rPr lang="zh-CN" altLang="en-US" b="1" i="0" spc="300" baseline="0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42959"/>
        <c:crosses val="autoZero"/>
        <c:crossBetween val="midCat"/>
        <c:maj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261939</xdr:colOff>
      <xdr:row>7</xdr:row>
      <xdr:rowOff>23812</xdr:rowOff>
    </xdr:from>
    <xdr:to>
      <xdr:col>5</xdr:col>
      <xdr:colOff>635001</xdr:colOff>
      <xdr:row>7</xdr:row>
      <xdr:rowOff>134938</xdr:rowOff>
    </xdr:to>
    <xdr:sp macro="" textlink="">
      <xdr:nvSpPr>
        <xdr:cNvPr id="14" name="Rectangle 16">
          <a:extLst>
            <a:ext uri="{FF2B5EF4-FFF2-40B4-BE49-F238E27FC236}">
              <a16:creationId xmlns:a16="http://schemas.microsoft.com/office/drawing/2014/main" id="{4A773DD3-4EBF-4E95-A419-A2DA6107F688}"/>
            </a:ext>
          </a:extLst>
        </xdr:cNvPr>
        <xdr:cNvSpPr>
          <a:spLocks noChangeArrowheads="1"/>
        </xdr:cNvSpPr>
      </xdr:nvSpPr>
      <xdr:spPr bwMode="auto">
        <a:xfrm flipV="1">
          <a:off x="4691064" y="1468437"/>
          <a:ext cx="1960562" cy="111126"/>
        </a:xfrm>
        <a:prstGeom prst="rect">
          <a:avLst/>
        </a:prstGeom>
        <a:gradFill rotWithShape="1">
          <a:gsLst>
            <a:gs pos="0">
              <a:srgbClr val="767676"/>
            </a:gs>
            <a:gs pos="50000">
              <a:srgbClr val="FFFFFF"/>
            </a:gs>
            <a:gs pos="100000">
              <a:srgbClr val="767676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0</xdr:row>
          <xdr:rowOff>66675</xdr:rowOff>
        </xdr:from>
        <xdr:to>
          <xdr:col>7</xdr:col>
          <xdr:colOff>476250</xdr:colOff>
          <xdr:row>1</xdr:row>
          <xdr:rowOff>219075</xdr:rowOff>
        </xdr:to>
        <xdr:sp macro="" textlink="">
          <xdr:nvSpPr>
            <xdr:cNvPr id="1026" name="StartCmd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0</xdr:row>
          <xdr:rowOff>47625</xdr:rowOff>
        </xdr:from>
        <xdr:to>
          <xdr:col>9</xdr:col>
          <xdr:colOff>381000</xdr:colOff>
          <xdr:row>1</xdr:row>
          <xdr:rowOff>219075</xdr:rowOff>
        </xdr:to>
        <xdr:sp macro="" textlink="">
          <xdr:nvSpPr>
            <xdr:cNvPr id="1027" name="StopCmd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0</xdr:row>
          <xdr:rowOff>28575</xdr:rowOff>
        </xdr:from>
        <xdr:to>
          <xdr:col>10</xdr:col>
          <xdr:colOff>552450</xdr:colOff>
          <xdr:row>1</xdr:row>
          <xdr:rowOff>180975</xdr:rowOff>
        </xdr:to>
        <xdr:sp macro="" textlink="">
          <xdr:nvSpPr>
            <xdr:cNvPr id="1030" name="PutCheckBox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865188</xdr:colOff>
      <xdr:row>2</xdr:row>
      <xdr:rowOff>60325</xdr:rowOff>
    </xdr:from>
    <xdr:to>
      <xdr:col>11</xdr:col>
      <xdr:colOff>166688</xdr:colOff>
      <xdr:row>14</xdr:row>
      <xdr:rowOff>31749</xdr:rowOff>
    </xdr:to>
    <xdr:graphicFrame macro="">
      <xdr:nvGraphicFramePr>
        <xdr:cNvPr id="4" name="ChartTre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436563</xdr:colOff>
      <xdr:row>3</xdr:row>
      <xdr:rowOff>127001</xdr:rowOff>
    </xdr:from>
    <xdr:to>
      <xdr:col>5</xdr:col>
      <xdr:colOff>174626</xdr:colOff>
      <xdr:row>11</xdr:row>
      <xdr:rowOff>7939</xdr:rowOff>
    </xdr:to>
    <xdr:grpSp>
      <xdr:nvGrpSpPr>
        <xdr:cNvPr id="11" name="组合 10">
          <a:extLst>
            <a:ext uri="{FF2B5EF4-FFF2-40B4-BE49-F238E27FC236}">
              <a16:creationId xmlns:a16="http://schemas.microsoft.com/office/drawing/2014/main" id="{1DDC7E2E-D1EC-420B-982D-73E92A627024}"/>
            </a:ext>
          </a:extLst>
        </xdr:cNvPr>
        <xdr:cNvGrpSpPr/>
      </xdr:nvGrpSpPr>
      <xdr:grpSpPr>
        <a:xfrm>
          <a:off x="4865688" y="873126"/>
          <a:ext cx="1325563" cy="1277938"/>
          <a:chOff x="1858574" y="992670"/>
          <a:chExt cx="2676525" cy="1866903"/>
        </a:xfrm>
      </xdr:grpSpPr>
      <xdr:sp macro="" textlink="">
        <xdr:nvSpPr>
          <xdr:cNvPr id="12" name="AutoShape 17">
            <a:extLst>
              <a:ext uri="{FF2B5EF4-FFF2-40B4-BE49-F238E27FC236}">
                <a16:creationId xmlns:a16="http://schemas.microsoft.com/office/drawing/2014/main" id="{35F57F94-1621-49ED-8BF3-97CE673C5F05}"/>
              </a:ext>
            </a:extLst>
          </xdr:cNvPr>
          <xdr:cNvSpPr>
            <a:spLocks noChangeArrowheads="1"/>
          </xdr:cNvSpPr>
        </xdr:nvSpPr>
        <xdr:spPr bwMode="auto">
          <a:xfrm rot="5400000">
            <a:off x="2263385" y="587859"/>
            <a:ext cx="1866903" cy="2676525"/>
          </a:xfrm>
          <a:prstGeom prst="flowChartManualOperation">
            <a:avLst/>
          </a:prstGeom>
          <a:gradFill rotWithShape="1">
            <a:gsLst>
              <a:gs pos="0">
                <a:srgbClr val="FFFFFF"/>
              </a:gs>
              <a:gs pos="100000">
                <a:srgbClr val="393939"/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" textlink="">
        <xdr:nvSpPr>
          <xdr:cNvPr id="13" name="Text Box 18">
            <a:extLst>
              <a:ext uri="{FF2B5EF4-FFF2-40B4-BE49-F238E27FC236}">
                <a16:creationId xmlns:a16="http://schemas.microsoft.com/office/drawing/2014/main" id="{22B5CB3A-9D76-4572-A117-E9A00444E646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73209" y="1781175"/>
            <a:ext cx="1397779" cy="26447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Turbine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457199</xdr:colOff>
      <xdr:row>9</xdr:row>
      <xdr:rowOff>95250</xdr:rowOff>
    </xdr:from>
    <xdr:to>
      <xdr:col>7</xdr:col>
      <xdr:colOff>619125</xdr:colOff>
      <xdr:row>10</xdr:row>
      <xdr:rowOff>114300</xdr:rowOff>
    </xdr:to>
    <xdr:sp macro="" textlink="">
      <xdr:nvSpPr>
        <xdr:cNvPr id="7" name="Rectangle 16">
          <a:extLst>
            <a:ext uri="{FF2B5EF4-FFF2-40B4-BE49-F238E27FC236}">
              <a16:creationId xmlns:a16="http://schemas.microsoft.com/office/drawing/2014/main" id="{A75CA991-05A3-455E-BB85-47BE7E02DA49}"/>
            </a:ext>
          </a:extLst>
        </xdr:cNvPr>
        <xdr:cNvSpPr>
          <a:spLocks noChangeArrowheads="1"/>
        </xdr:cNvSpPr>
      </xdr:nvSpPr>
      <xdr:spPr bwMode="auto">
        <a:xfrm flipV="1">
          <a:off x="1828799" y="1857375"/>
          <a:ext cx="4057651" cy="190500"/>
        </a:xfrm>
        <a:prstGeom prst="rect">
          <a:avLst/>
        </a:prstGeom>
        <a:gradFill rotWithShape="1">
          <a:gsLst>
            <a:gs pos="0">
              <a:srgbClr val="767676"/>
            </a:gs>
            <a:gs pos="50000">
              <a:srgbClr val="FFFFFF"/>
            </a:gs>
            <a:gs pos="100000">
              <a:srgbClr val="767676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57150</xdr:colOff>
      <xdr:row>1</xdr:row>
      <xdr:rowOff>95250</xdr:rowOff>
    </xdr:from>
    <xdr:to>
      <xdr:col>3</xdr:col>
      <xdr:colOff>57150</xdr:colOff>
      <xdr:row>6</xdr:row>
      <xdr:rowOff>152400</xdr:rowOff>
    </xdr:to>
    <xdr:cxnSp macro="">
      <xdr:nvCxnSpPr>
        <xdr:cNvPr id="4" name="直接箭头连接符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114550" y="485775"/>
          <a:ext cx="0" cy="914400"/>
        </a:xfrm>
        <a:prstGeom prst="straightConnector1">
          <a:avLst/>
        </a:prstGeom>
        <a:ln w="2222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15</xdr:row>
      <xdr:rowOff>57150</xdr:rowOff>
    </xdr:from>
    <xdr:to>
      <xdr:col>6</xdr:col>
      <xdr:colOff>171450</xdr:colOff>
      <xdr:row>18</xdr:row>
      <xdr:rowOff>57150</xdr:rowOff>
    </xdr:to>
    <xdr:cxnSp macro="">
      <xdr:nvCxnSpPr>
        <xdr:cNvPr id="6" name="直接箭头连接符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4733925" y="2847975"/>
          <a:ext cx="19050" cy="5143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9524</xdr:colOff>
      <xdr:row>4</xdr:row>
      <xdr:rowOff>76199</xdr:rowOff>
    </xdr:from>
    <xdr:to>
      <xdr:col>6</xdr:col>
      <xdr:colOff>161924</xdr:colOff>
      <xdr:row>15</xdr:row>
      <xdr:rowOff>57152</xdr:rowOff>
    </xdr:to>
    <xdr:grpSp>
      <xdr:nvGrpSpPr>
        <xdr:cNvPr id="11" name="组合 10">
          <a:extLst>
            <a:ext uri="{FF2B5EF4-FFF2-40B4-BE49-F238E27FC236}">
              <a16:creationId xmlns:a16="http://schemas.microsoft.com/office/drawing/2014/main" id="{F711D8EF-CE48-46D5-902D-EA254BC48F22}"/>
            </a:ext>
          </a:extLst>
        </xdr:cNvPr>
        <xdr:cNvGrpSpPr/>
      </xdr:nvGrpSpPr>
      <xdr:grpSpPr>
        <a:xfrm>
          <a:off x="2066924" y="981074"/>
          <a:ext cx="2676525" cy="1866903"/>
          <a:chOff x="2066924" y="981074"/>
          <a:chExt cx="2676525" cy="1866903"/>
        </a:xfrm>
      </xdr:grpSpPr>
      <xdr:sp macro="" textlink="">
        <xdr:nvSpPr>
          <xdr:cNvPr id="5" name="AutoShape 17">
            <a:extLst>
              <a:ext uri="{FF2B5EF4-FFF2-40B4-BE49-F238E27FC236}">
                <a16:creationId xmlns:a16="http://schemas.microsoft.com/office/drawing/2014/main" id="{8907F251-809C-4B6D-9465-1FF432FF8951}"/>
              </a:ext>
            </a:extLst>
          </xdr:cNvPr>
          <xdr:cNvSpPr>
            <a:spLocks noChangeArrowheads="1"/>
          </xdr:cNvSpPr>
        </xdr:nvSpPr>
        <xdr:spPr bwMode="auto">
          <a:xfrm rot="5400000">
            <a:off x="2471735" y="576263"/>
            <a:ext cx="1866903" cy="2676525"/>
          </a:xfrm>
          <a:prstGeom prst="flowChartManualOperation">
            <a:avLst/>
          </a:prstGeom>
          <a:gradFill rotWithShape="1">
            <a:gsLst>
              <a:gs pos="0">
                <a:srgbClr val="FFFFFF"/>
              </a:gs>
              <a:gs pos="100000">
                <a:srgbClr val="393939"/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" textlink="">
        <xdr:nvSpPr>
          <xdr:cNvPr id="9" name="Text Box 18">
            <a:extLst>
              <a:ext uri="{FF2B5EF4-FFF2-40B4-BE49-F238E27FC236}">
                <a16:creationId xmlns:a16="http://schemas.microsoft.com/office/drawing/2014/main" id="{5DA60F9B-6AA7-4D90-8348-C0BECCF8CC75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2376" y="1809750"/>
            <a:ext cx="894796" cy="25908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Turbine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20" zoomScaleNormal="120" workbookViewId="0">
      <pane ySplit="2" topLeftCell="A3" activePane="bottomLeft" state="frozen"/>
      <selection pane="bottomLeft" activeCell="E13" sqref="E13"/>
    </sheetView>
  </sheetViews>
  <sheetFormatPr defaultRowHeight="13.5" x14ac:dyDescent="0.15"/>
  <cols>
    <col min="1" max="1" width="20.125" style="3" customWidth="1"/>
    <col min="2" max="2" width="17.25" style="3" bestFit="1" customWidth="1"/>
    <col min="3" max="3" width="8" style="3" customWidth="1"/>
    <col min="4" max="4" width="12.75" style="3" bestFit="1" customWidth="1"/>
    <col min="5" max="5" width="20.875" customWidth="1"/>
    <col min="6" max="6" width="11.5" customWidth="1"/>
    <col min="7" max="7" width="7.75" customWidth="1"/>
    <col min="8" max="8" width="7.375" customWidth="1"/>
    <col min="9" max="9" width="7.75" customWidth="1"/>
  </cols>
  <sheetData>
    <row r="1" spans="1:11" ht="19.5" customHeight="1" x14ac:dyDescent="0.15">
      <c r="A1" s="13" t="s">
        <v>33</v>
      </c>
      <c r="B1" s="13"/>
      <c r="C1" s="13"/>
      <c r="D1" s="13"/>
      <c r="E1" s="7" t="s">
        <v>35</v>
      </c>
      <c r="F1" s="9" t="s">
        <v>34</v>
      </c>
      <c r="G1" s="13"/>
      <c r="H1" s="13"/>
      <c r="I1" s="13"/>
      <c r="J1" s="13"/>
      <c r="K1" s="13"/>
    </row>
    <row r="2" spans="1:11" s="1" customFormat="1" ht="23.25" customHeight="1" x14ac:dyDescent="0.15">
      <c r="A2" s="1" t="s">
        <v>0</v>
      </c>
      <c r="B2" s="1" t="s">
        <v>1</v>
      </c>
      <c r="C2" s="1" t="s">
        <v>2</v>
      </c>
      <c r="D2" s="1" t="s">
        <v>3</v>
      </c>
      <c r="E2" s="10">
        <v>42742.990243055552</v>
      </c>
      <c r="F2" s="8">
        <v>3</v>
      </c>
      <c r="G2" s="13"/>
      <c r="H2" s="13"/>
      <c r="I2" s="13"/>
      <c r="J2" s="13"/>
      <c r="K2" s="13"/>
    </row>
    <row r="3" spans="1:11" s="1" customFormat="1" ht="16.5" customHeight="1" x14ac:dyDescent="0.15">
      <c r="A3" s="5" t="s">
        <v>26</v>
      </c>
      <c r="B3" s="4" t="s">
        <v>4</v>
      </c>
      <c r="C3" s="2" t="s">
        <v>5</v>
      </c>
      <c r="D3" s="2">
        <v>276.34570000000002</v>
      </c>
    </row>
    <row r="4" spans="1:11" x14ac:dyDescent="0.15">
      <c r="A4" s="5" t="s">
        <v>20</v>
      </c>
      <c r="B4" s="4" t="s">
        <v>12</v>
      </c>
      <c r="C4" s="4" t="s">
        <v>8</v>
      </c>
      <c r="D4" s="6">
        <v>16.008299999999998</v>
      </c>
    </row>
    <row r="5" spans="1:11" x14ac:dyDescent="0.15">
      <c r="A5" s="5" t="s">
        <v>13</v>
      </c>
      <c r="B5" s="4" t="s">
        <v>14</v>
      </c>
      <c r="C5" s="4" t="s">
        <v>11</v>
      </c>
      <c r="D5" s="6">
        <v>16.03857</v>
      </c>
    </row>
    <row r="6" spans="1:11" x14ac:dyDescent="0.15">
      <c r="A6" s="5" t="s">
        <v>21</v>
      </c>
      <c r="B6" s="4" t="s">
        <v>22</v>
      </c>
      <c r="C6" s="4" t="s">
        <v>23</v>
      </c>
      <c r="D6" s="6">
        <v>534.60850000000005</v>
      </c>
    </row>
    <row r="7" spans="1:11" x14ac:dyDescent="0.15">
      <c r="A7" s="5" t="s">
        <v>24</v>
      </c>
      <c r="B7" s="4" t="s">
        <v>25</v>
      </c>
      <c r="C7" s="4" t="s">
        <v>23</v>
      </c>
      <c r="D7" s="6">
        <v>535.72640000000001</v>
      </c>
    </row>
    <row r="8" spans="1:11" x14ac:dyDescent="0.15">
      <c r="A8" s="5" t="s">
        <v>6</v>
      </c>
      <c r="B8" s="4" t="s">
        <v>7</v>
      </c>
      <c r="C8" s="4" t="s">
        <v>8</v>
      </c>
      <c r="D8" s="6">
        <v>3.0004689999999998</v>
      </c>
    </row>
    <row r="9" spans="1:11" x14ac:dyDescent="0.15">
      <c r="A9" s="5" t="s">
        <v>9</v>
      </c>
      <c r="B9" s="4" t="s">
        <v>10</v>
      </c>
      <c r="C9" s="4" t="s">
        <v>11</v>
      </c>
      <c r="D9" s="6">
        <v>3.0056250000000002</v>
      </c>
    </row>
    <row r="10" spans="1:11" x14ac:dyDescent="0.15">
      <c r="A10" s="5" t="s">
        <v>15</v>
      </c>
      <c r="B10" s="4" t="s">
        <v>16</v>
      </c>
      <c r="C10" s="4" t="s">
        <v>17</v>
      </c>
      <c r="D10" s="6">
        <v>311.07</v>
      </c>
    </row>
    <row r="11" spans="1:11" x14ac:dyDescent="0.15">
      <c r="A11" s="5" t="s">
        <v>18</v>
      </c>
      <c r="B11" s="4" t="s">
        <v>19</v>
      </c>
      <c r="C11" s="4" t="s">
        <v>17</v>
      </c>
      <c r="D11" s="6">
        <v>314.06790000000001</v>
      </c>
    </row>
    <row r="12" spans="1:11" x14ac:dyDescent="0.15">
      <c r="A12" s="5" t="s">
        <v>27</v>
      </c>
      <c r="B12" s="4" t="s">
        <v>28</v>
      </c>
      <c r="C12" s="4" t="s">
        <v>29</v>
      </c>
      <c r="D12" s="6">
        <v>100.5211</v>
      </c>
      <c r="E12" s="5"/>
    </row>
    <row r="13" spans="1:11" ht="15.75" customHeight="1" x14ac:dyDescent="0.15">
      <c r="A13" s="13" t="s">
        <v>31</v>
      </c>
      <c r="B13" s="13"/>
      <c r="C13" s="13"/>
      <c r="D13" s="13"/>
    </row>
    <row r="14" spans="1:11" x14ac:dyDescent="0.15">
      <c r="A14" s="5" t="s">
        <v>32</v>
      </c>
      <c r="C14" s="3" t="s">
        <v>30</v>
      </c>
      <c r="D14" s="3">
        <v>81.595018316870238</v>
      </c>
    </row>
    <row r="17" spans="3:5" x14ac:dyDescent="0.15">
      <c r="C17" s="11"/>
      <c r="E17" s="1"/>
    </row>
    <row r="18" spans="3:5" x14ac:dyDescent="0.15">
      <c r="E18" s="3"/>
    </row>
    <row r="19" spans="3:5" x14ac:dyDescent="0.15">
      <c r="E19" s="3"/>
    </row>
    <row r="20" spans="3:5" x14ac:dyDescent="0.15">
      <c r="E20" s="3"/>
    </row>
    <row r="21" spans="3:5" x14ac:dyDescent="0.15">
      <c r="E21" s="3"/>
    </row>
    <row r="22" spans="3:5" x14ac:dyDescent="0.15">
      <c r="C22" s="3">
        <v>828</v>
      </c>
      <c r="E22" s="3"/>
    </row>
    <row r="23" spans="3:5" x14ac:dyDescent="0.15">
      <c r="C23" s="3">
        <f>(1*60*60+59*60+12)</f>
        <v>7152</v>
      </c>
      <c r="E23" s="3"/>
    </row>
    <row r="24" spans="3:5" x14ac:dyDescent="0.15">
      <c r="C24" s="3">
        <f>C23/86400</f>
        <v>8.2777777777777783E-2</v>
      </c>
      <c r="E24" s="3"/>
    </row>
    <row r="25" spans="3:5" x14ac:dyDescent="0.15">
      <c r="E25" s="3"/>
    </row>
    <row r="26" spans="3:5" x14ac:dyDescent="0.15">
      <c r="E26" s="3"/>
    </row>
    <row r="27" spans="3:5" x14ac:dyDescent="0.15">
      <c r="E27" s="3"/>
    </row>
  </sheetData>
  <mergeCells count="3">
    <mergeCell ref="A1:D1"/>
    <mergeCell ref="A13:D13"/>
    <mergeCell ref="G1:K2"/>
  </mergeCells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topCmdBtn">
          <controlPr defaultSize="0" disabled="1" autoLine="0" r:id="rId5">
            <anchor moveWithCells="1">
              <from>
                <xdr:col>8</xdr:col>
                <xdr:colOff>66675</xdr:colOff>
                <xdr:row>0</xdr:row>
                <xdr:rowOff>47625</xdr:rowOff>
              </from>
              <to>
                <xdr:col>9</xdr:col>
                <xdr:colOff>381000</xdr:colOff>
                <xdr:row>1</xdr:row>
                <xdr:rowOff>219075</xdr:rowOff>
              </to>
            </anchor>
          </controlPr>
        </control>
      </mc:Choice>
      <mc:Fallback>
        <control shapeId="1027" r:id="rId4" name="StopCmdBtn"/>
      </mc:Fallback>
    </mc:AlternateContent>
    <mc:AlternateContent xmlns:mc="http://schemas.openxmlformats.org/markup-compatibility/2006">
      <mc:Choice Requires="x14">
        <control shapeId="1026" r:id="rId6" name="StartCmdBtn">
          <controlPr defaultSize="0" autoLine="0" r:id="rId7">
            <anchor moveWithCells="1">
              <from>
                <xdr:col>6</xdr:col>
                <xdr:colOff>171450</xdr:colOff>
                <xdr:row>0</xdr:row>
                <xdr:rowOff>66675</xdr:rowOff>
              </from>
              <to>
                <xdr:col>7</xdr:col>
                <xdr:colOff>476250</xdr:colOff>
                <xdr:row>1</xdr:row>
                <xdr:rowOff>219075</xdr:rowOff>
              </to>
            </anchor>
          </controlPr>
        </control>
      </mc:Choice>
      <mc:Fallback>
        <control shapeId="1026" r:id="rId6" name="StartCmdBtn"/>
      </mc:Fallback>
    </mc:AlternateContent>
    <mc:AlternateContent xmlns:mc="http://schemas.openxmlformats.org/markup-compatibility/2006">
      <mc:Choice Requires="x14">
        <control shapeId="1030" r:id="rId8" name="PutCheckBox">
          <controlPr defaultSize="0" autoFill="0" autoLine="0" r:id="rId9">
            <anchor moveWithCells="1">
              <from>
                <xdr:col>9</xdr:col>
                <xdr:colOff>466725</xdr:colOff>
                <xdr:row>0</xdr:row>
                <xdr:rowOff>28575</xdr:rowOff>
              </from>
              <to>
                <xdr:col>10</xdr:col>
                <xdr:colOff>552450</xdr:colOff>
                <xdr:row>1</xdr:row>
                <xdr:rowOff>180975</xdr:rowOff>
              </to>
            </anchor>
          </controlPr>
        </control>
      </mc:Choice>
      <mc:Fallback>
        <control shapeId="1030" r:id="rId8" name="PutCheck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workbookViewId="0">
      <selection activeCell="H7" sqref="H7"/>
    </sheetView>
  </sheetViews>
  <sheetFormatPr defaultRowHeight="13.5" x14ac:dyDescent="0.15"/>
  <cols>
    <col min="1" max="1" width="9" style="12" customWidth="1"/>
    <col min="2" max="4" width="9" style="12"/>
    <col min="5" max="5" width="15.125" style="12" bestFit="1" customWidth="1"/>
    <col min="6" max="16384" width="9" style="12"/>
  </cols>
  <sheetData>
    <row r="1" spans="1:11" ht="30.75" customHeight="1" x14ac:dyDescent="0.15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3" spans="1:11" x14ac:dyDescent="0.15">
      <c r="C3" s="12">
        <f>(HP!D4+HP!D5)*0.5</f>
        <v>16.023434999999999</v>
      </c>
      <c r="E3" s="12" t="str">
        <f>HP!A3</f>
        <v>发电机有功功率</v>
      </c>
      <c r="F3" s="12">
        <f>HP!D3</f>
        <v>276.34570000000002</v>
      </c>
    </row>
    <row r="4" spans="1:11" x14ac:dyDescent="0.15">
      <c r="C4" s="12">
        <f>(HP!D6+HP!D7)*0.5</f>
        <v>535.16745000000003</v>
      </c>
      <c r="E4" s="12" t="str">
        <f>HP!A14</f>
        <v>高压缸等熵效率</v>
      </c>
      <c r="F4" s="12">
        <f>HP!D14</f>
        <v>81.595018316870238</v>
      </c>
    </row>
    <row r="16" spans="1:11" x14ac:dyDescent="0.15">
      <c r="F16" s="12">
        <f>(HP!D8+HP!D9)*0.5</f>
        <v>3.003047</v>
      </c>
    </row>
    <row r="17" spans="6:6" x14ac:dyDescent="0.15">
      <c r="F17" s="12">
        <f>(HP!D10+HP!D11)*0.5</f>
        <v>312.56894999999997</v>
      </c>
    </row>
  </sheetData>
  <mergeCells count="1">
    <mergeCell ref="A1:K1"/>
  </mergeCells>
  <phoneticPr fontId="1" type="noConversion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HP</vt:lpstr>
      <vt:lpstr>LAYOUT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interactive-ws</dc:creator>
  <cp:lastModifiedBy>Maohua Cheng</cp:lastModifiedBy>
  <dcterms:created xsi:type="dcterms:W3CDTF">2015-01-18T18:22:12Z</dcterms:created>
  <dcterms:modified xsi:type="dcterms:W3CDTF">2017-04-26T17:32:03Z</dcterms:modified>
</cp:coreProperties>
</file>